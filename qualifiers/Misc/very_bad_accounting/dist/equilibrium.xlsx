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uroboros" sheetId="1" state="visible" r:id="rId1"/>
    <sheet xmlns:r="http://schemas.openxmlformats.org/officeDocument/2006/relationships" name="P&amp;L_Summary" sheetId="2" state="visible" r:id="rId2"/>
    <sheet xmlns:r="http://schemas.openxmlformats.org/officeDocument/2006/relationships" name="Accounts_Receivable" sheetId="3" state="visible" r:id="rId3"/>
    <sheet xmlns:r="http://schemas.openxmlformats.org/officeDocument/2006/relationships" name="Audit_Flag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7">
    <font>
      <name val="Calibri"/>
      <family val="2"/>
      <color theme="1"/>
      <sz val="11"/>
      <scheme val="minor"/>
    </font>
    <font>
      <name val="Arial"/>
      <b val="1"/>
      <color rgb="FFFFFFFF"/>
      <sz val="10"/>
    </font>
    <font>
      <name val="Arial"/>
      <color rgb="FF888888"/>
      <sz val="9"/>
    </font>
    <font>
      <name val="Arial"/>
      <sz val="10"/>
    </font>
    <font>
      <name val="Arial"/>
      <color rgb="FF1A1A2E"/>
      <sz val="10"/>
    </font>
    <font>
      <name val="Arial"/>
      <color rgb="FF8B4513"/>
      <sz val="10"/>
    </font>
    <font>
      <name val="Arial"/>
      <b val="1"/>
      <color rgb="FF0000AA"/>
      <sz val="10"/>
    </font>
  </fonts>
  <fills count="6">
    <fill>
      <patternFill/>
    </fill>
    <fill>
      <patternFill patternType="gray125"/>
    </fill>
    <fill>
      <patternFill patternType="solid">
        <fgColor rgb="FF294161"/>
      </patternFill>
    </fill>
    <fill>
      <patternFill patternType="solid">
        <fgColor rgb="FF1C4559"/>
      </patternFill>
    </fill>
    <fill>
      <patternFill patternType="solid">
        <fgColor rgb="FF372850"/>
      </patternFill>
    </fill>
    <fill>
      <patternFill patternType="solid">
        <fgColor rgb="FF641E1E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left"/>
    </xf>
    <xf numFmtId="4" fontId="4" fillId="0" borderId="1" applyAlignment="1" pivotButton="0" quotePrefix="0" xfId="0">
      <alignment horizontal="center"/>
    </xf>
    <xf numFmtId="4" fontId="5" fillId="0" borderId="1" applyAlignment="1" pivotButton="0" quotePrefix="0" xfId="0">
      <alignment horizontal="center"/>
    </xf>
    <xf numFmtId="164" fontId="6" fillId="0" borderId="1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3" fontId="0" fillId="0" borderId="0" pivotButton="0" quotePrefix="0" xfId="0"/>
    <xf numFmtId="0" fontId="1" fillId="4" borderId="0" applyAlignment="1" pivotButton="0" quotePrefix="0" xfId="0">
      <alignment horizontal="center"/>
    </xf>
    <xf numFmtId="4" fontId="0" fillId="0" borderId="0" pivotButton="0" quotePrefix="0" xfId="0"/>
    <xf numFmtId="0" fontId="1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16" customWidth="1" min="3" max="3"/>
    <col width="16" customWidth="1" min="4" max="4"/>
    <col width="16" customWidth="1" min="5" max="5"/>
    <col width="18" customWidth="1" min="6" max="6"/>
  </cols>
  <sheetData>
    <row r="1" ht="18" customHeight="1">
      <c r="A1" s="1" t="inlineStr">
        <is>
          <t>#</t>
        </is>
      </c>
      <c r="B1" s="1" t="inlineStr">
        <is>
          <t>Account</t>
        </is>
      </c>
      <c r="C1" s="1" t="inlineStr">
        <is>
          <t>Budget</t>
        </is>
      </c>
      <c r="D1" s="1" t="inlineStr">
        <is>
          <t>Variance</t>
        </is>
      </c>
      <c r="E1" s="1" t="inlineStr">
        <is>
          <t>Delta</t>
        </is>
      </c>
      <c r="F1" s="1" t="inlineStr">
        <is>
          <t>Equilibrium</t>
        </is>
      </c>
    </row>
    <row r="2">
      <c r="A2" s="2" t="n">
        <v>1</v>
      </c>
      <c r="B2" s="3" t="inlineStr">
        <is>
          <t>Payroll – Executive</t>
        </is>
      </c>
      <c r="C2" s="4" t="n">
        <v>61867.11</v>
      </c>
      <c r="D2" s="4" t="n">
        <v>5.56</v>
      </c>
      <c r="E2" s="5">
        <f>C2-F2</f>
        <v/>
      </c>
      <c r="F2" s="6">
        <f>F2/2+65/2</f>
        <v/>
      </c>
    </row>
    <row r="3">
      <c r="A3" s="2" t="n">
        <v>2</v>
      </c>
      <c r="B3" s="3" t="inlineStr">
        <is>
          <t>Payroll – Engineering</t>
        </is>
      </c>
      <c r="C3" s="4" t="n">
        <v>86055.75999999999</v>
      </c>
      <c r="D3" s="4" t="n">
        <v>10.48</v>
      </c>
      <c r="E3" s="5">
        <f>C3-F3</f>
        <v/>
      </c>
      <c r="F3" s="6">
        <f>F3/2+83/2</f>
        <v/>
      </c>
    </row>
    <row r="4">
      <c r="A4" s="2" t="n">
        <v>3</v>
      </c>
      <c r="B4" s="3" t="inlineStr">
        <is>
          <t>Payroll – Operations</t>
        </is>
      </c>
      <c r="C4" s="4" t="n">
        <v>76845.88</v>
      </c>
      <c r="D4" s="4" t="n">
        <v>-8.08</v>
      </c>
      <c r="E4" s="5">
        <f>C4-F4</f>
        <v/>
      </c>
      <c r="F4" s="6">
        <f>F4/2+82/2</f>
        <v/>
      </c>
    </row>
    <row r="5">
      <c r="A5" s="2" t="n">
        <v>4</v>
      </c>
      <c r="B5" s="3" t="inlineStr">
        <is>
          <t>Payroll – Sales</t>
        </is>
      </c>
      <c r="C5" s="4" t="n">
        <v>62271.94</v>
      </c>
      <c r="D5" s="4" t="n">
        <v>-8.25</v>
      </c>
      <c r="E5" s="5">
        <f>C5-F5</f>
        <v/>
      </c>
      <c r="F5" s="6">
        <f>F5/2+67/2</f>
        <v/>
      </c>
    </row>
    <row r="6">
      <c r="A6" s="2" t="n">
        <v>5</v>
      </c>
      <c r="B6" s="3" t="inlineStr">
        <is>
          <t>Payroll – Legal</t>
        </is>
      </c>
      <c r="C6" s="4" t="n">
        <v>87931.60000000001</v>
      </c>
      <c r="D6" s="4" t="n">
        <v>-11.09</v>
      </c>
      <c r="E6" s="5">
        <f>C6-F6</f>
        <v/>
      </c>
      <c r="F6" s="6">
        <f>F6/2+84/2</f>
        <v/>
      </c>
    </row>
    <row r="7">
      <c r="A7" s="2" t="n">
        <v>6</v>
      </c>
      <c r="B7" s="3" t="inlineStr">
        <is>
          <t>Payroll – Finance</t>
        </is>
      </c>
      <c r="C7" s="4" t="n">
        <v>70438.41</v>
      </c>
      <c r="D7" s="4" t="n">
        <v>-8.58</v>
      </c>
      <c r="E7" s="5">
        <f>C7-F7</f>
        <v/>
      </c>
      <c r="F7" s="6">
        <f>F7/2+70/2</f>
        <v/>
      </c>
    </row>
    <row r="8">
      <c r="A8" s="2" t="n">
        <v>7</v>
      </c>
      <c r="B8" s="3" t="inlineStr">
        <is>
          <t>Office Rent Q1</t>
        </is>
      </c>
      <c r="C8" s="4" t="n">
        <v>117948.56</v>
      </c>
      <c r="D8" s="4" t="n">
        <v>-2.05</v>
      </c>
      <c r="E8" s="5">
        <f>C8-F8</f>
        <v/>
      </c>
      <c r="F8" s="6">
        <f>F8/2+123/2</f>
        <v/>
      </c>
    </row>
    <row r="9">
      <c r="A9" s="2" t="n">
        <v>8</v>
      </c>
      <c r="B9" s="3" t="inlineStr">
        <is>
          <t>Office Rent Q2</t>
        </is>
      </c>
      <c r="C9" s="4" t="n">
        <v>105685.6</v>
      </c>
      <c r="D9" s="4" t="n">
        <v>3.25</v>
      </c>
      <c r="E9" s="5">
        <f>C9-F9</f>
        <v/>
      </c>
      <c r="F9" s="6">
        <f>F9/2+99/2</f>
        <v/>
      </c>
    </row>
    <row r="10">
      <c r="A10" s="2" t="n">
        <v>9</v>
      </c>
      <c r="B10" s="3" t="inlineStr">
        <is>
          <t>Office Rent Q3</t>
        </is>
      </c>
      <c r="C10" s="4" t="n">
        <v>44241.44</v>
      </c>
      <c r="D10" s="4" t="n">
        <v>-6.72</v>
      </c>
      <c r="E10" s="5">
        <f>C10-F10</f>
        <v/>
      </c>
      <c r="F10" s="6">
        <f>F10/2+49/2</f>
        <v/>
      </c>
    </row>
    <row r="11">
      <c r="A11" s="2" t="n">
        <v>10</v>
      </c>
      <c r="B11" s="3" t="inlineStr">
        <is>
          <t>Office Rent Q4</t>
        </is>
      </c>
      <c r="C11" s="4" t="n">
        <v>105945</v>
      </c>
      <c r="D11" s="4" t="n">
        <v>11.14</v>
      </c>
      <c r="E11" s="5">
        <f>C11-F11</f>
        <v/>
      </c>
      <c r="F11" s="6">
        <f>F11/2+114/2</f>
        <v/>
      </c>
    </row>
    <row r="12">
      <c r="A12" s="2" t="n">
        <v>11</v>
      </c>
      <c r="B12" s="3" t="inlineStr">
        <is>
          <t>Cloud Infra – Compute</t>
        </is>
      </c>
      <c r="C12" s="4" t="n">
        <v>105132.84</v>
      </c>
      <c r="D12" s="4" t="n">
        <v>9.18</v>
      </c>
      <c r="E12" s="5">
        <f>C12-F12</f>
        <v/>
      </c>
      <c r="F12" s="6">
        <f>F12/2+99/2</f>
        <v/>
      </c>
    </row>
    <row r="13">
      <c r="A13" s="2" t="n">
        <v>12</v>
      </c>
      <c r="B13" s="3" t="inlineStr">
        <is>
          <t>Cloud Infra – Storage</t>
        </is>
      </c>
      <c r="C13" s="4" t="n">
        <v>124636.95</v>
      </c>
      <c r="D13" s="4" t="n">
        <v>7.34</v>
      </c>
      <c r="E13" s="5">
        <f>C13-F13</f>
        <v/>
      </c>
      <c r="F13" s="6">
        <f>F13/2+117/2</f>
        <v/>
      </c>
    </row>
    <row r="14">
      <c r="A14" s="2" t="n">
        <v>13</v>
      </c>
      <c r="B14" s="3" t="inlineStr">
        <is>
          <t>Cloud Infra – Egress</t>
        </is>
      </c>
      <c r="C14" s="4" t="n">
        <v>117705.39</v>
      </c>
      <c r="D14" s="4" t="n">
        <v>8.81</v>
      </c>
      <c r="E14" s="5">
        <f>C14-F14</f>
        <v/>
      </c>
      <c r="F14" s="6">
        <f>F14/2+108/2</f>
        <v/>
      </c>
    </row>
    <row r="15">
      <c r="A15" s="2" t="n">
        <v>14</v>
      </c>
      <c r="B15" s="3" t="inlineStr">
        <is>
          <t>Software Licences – ERP</t>
        </is>
      </c>
      <c r="C15" s="4" t="n">
        <v>49469.76</v>
      </c>
      <c r="D15" s="4" t="n">
        <v>10.5</v>
      </c>
      <c r="E15" s="5">
        <f>C15-F15</f>
        <v/>
      </c>
      <c r="F15" s="6">
        <f>F15/2+52/2</f>
        <v/>
      </c>
    </row>
    <row r="16">
      <c r="A16" s="2" t="n">
        <v>15</v>
      </c>
      <c r="B16" s="3" t="inlineStr">
        <is>
          <t>Software Licences – CRM</t>
        </is>
      </c>
      <c r="C16" s="4" t="n">
        <v>113698.71</v>
      </c>
      <c r="D16" s="4" t="n">
        <v>7.65</v>
      </c>
      <c r="E16" s="5">
        <f>C16-F16</f>
        <v/>
      </c>
      <c r="F16" s="6">
        <f>F16/2+114/2</f>
        <v/>
      </c>
    </row>
    <row r="17">
      <c r="A17" s="2" t="n">
        <v>16</v>
      </c>
      <c r="B17" s="3" t="inlineStr">
        <is>
          <t>Software Licences – HR</t>
        </is>
      </c>
      <c r="C17" s="4" t="n">
        <v>96218.63</v>
      </c>
      <c r="D17" s="4" t="n">
        <v>-2.11</v>
      </c>
      <c r="E17" s="5">
        <f>C17-F17</f>
        <v/>
      </c>
      <c r="F17" s="6">
        <f>F17/2+95/2</f>
        <v/>
      </c>
    </row>
    <row r="18">
      <c r="A18" s="2" t="n">
        <v>17</v>
      </c>
      <c r="B18" s="3" t="inlineStr">
        <is>
          <t>Travel &amp; Expenses</t>
        </is>
      </c>
      <c r="C18" s="4" t="n">
        <v>110903.82</v>
      </c>
      <c r="D18" s="4" t="n">
        <v>-2.11</v>
      </c>
      <c r="E18" s="5">
        <f>C18-F18</f>
        <v/>
      </c>
      <c r="F18" s="6">
        <f>F18/2+114/2</f>
        <v/>
      </c>
    </row>
    <row r="19">
      <c r="A19" s="2" t="n">
        <v>18</v>
      </c>
      <c r="B19" s="3" t="inlineStr">
        <is>
          <t>Marketing – Digital</t>
        </is>
      </c>
      <c r="C19" s="4" t="n">
        <v>49100.37</v>
      </c>
      <c r="D19" s="4" t="n">
        <v>-11.48</v>
      </c>
      <c r="E19" s="5">
        <f>C19-F19</f>
        <v/>
      </c>
      <c r="F19" s="6">
        <f>F19/2+51/2</f>
        <v/>
      </c>
    </row>
    <row r="20">
      <c r="A20" s="2" t="n">
        <v>19</v>
      </c>
      <c r="B20" s="3" t="inlineStr">
        <is>
          <t>Marketing – Events</t>
        </is>
      </c>
      <c r="C20" s="4" t="n">
        <v>108520.73</v>
      </c>
      <c r="D20" s="4" t="n">
        <v>8.949999999999999</v>
      </c>
      <c r="E20" s="5">
        <f>C20-F20</f>
        <v/>
      </c>
      <c r="F20" s="6">
        <f>F20/2+102/2</f>
        <v/>
      </c>
    </row>
    <row r="21">
      <c r="A21" s="2" t="n">
        <v>20</v>
      </c>
      <c r="B21" s="3" t="inlineStr">
        <is>
          <t>Legal Retainer</t>
        </is>
      </c>
      <c r="C21" s="4" t="n">
        <v>55953.95</v>
      </c>
      <c r="D21" s="4" t="n">
        <v>5.73</v>
      </c>
      <c r="E21" s="5">
        <f>C21-F21</f>
        <v/>
      </c>
      <c r="F21" s="6">
        <f>F21/2+51/2</f>
        <v/>
      </c>
    </row>
    <row r="22">
      <c r="A22" s="2" t="n">
        <v>21</v>
      </c>
      <c r="B22" s="3" t="inlineStr">
        <is>
          <t>Audit Fees</t>
        </is>
      </c>
      <c r="C22" s="4" t="n">
        <v>115236.36</v>
      </c>
      <c r="D22" s="4" t="n">
        <v>7.45</v>
      </c>
      <c r="E22" s="5">
        <f>C22-F22</f>
        <v/>
      </c>
      <c r="F22" s="6">
        <f>F22/2+114/2</f>
        <v/>
      </c>
    </row>
    <row r="23">
      <c r="A23" s="2" t="n">
        <v>22</v>
      </c>
      <c r="B23" s="3" t="inlineStr">
        <is>
          <t>Insurance Premium</t>
        </is>
      </c>
      <c r="C23" s="4" t="n">
        <v>47275.51</v>
      </c>
      <c r="D23" s="4" t="n">
        <v>5.3</v>
      </c>
      <c r="E23" s="5">
        <f>C23-F23</f>
        <v/>
      </c>
      <c r="F23" s="6">
        <f>F23/2+51/2</f>
        <v/>
      </c>
    </row>
    <row r="24">
      <c r="A24" s="2" t="n">
        <v>23</v>
      </c>
      <c r="B24" s="3" t="inlineStr">
        <is>
          <t>R&amp;D – Salaries</t>
        </is>
      </c>
      <c r="C24" s="4" t="n">
        <v>108754.8</v>
      </c>
      <c r="D24" s="4" t="n">
        <v>-9.699999999999999</v>
      </c>
      <c r="E24" s="5">
        <f>C24-F24</f>
        <v/>
      </c>
      <c r="F24" s="6">
        <f>F24/2+110/2</f>
        <v/>
      </c>
    </row>
    <row r="25">
      <c r="A25" s="2" t="n">
        <v>24</v>
      </c>
      <c r="B25" s="3" t="inlineStr">
        <is>
          <t>R&amp;D – Equipment</t>
        </is>
      </c>
      <c r="C25" s="4" t="n">
        <v>93112.00999999999</v>
      </c>
      <c r="D25" s="4" t="n">
        <v>0.68</v>
      </c>
      <c r="E25" s="5">
        <f>C25-F25</f>
        <v/>
      </c>
      <c r="F25" s="6">
        <f>F25/2+99/2</f>
        <v/>
      </c>
    </row>
    <row r="26">
      <c r="A26" s="2" t="n">
        <v>25</v>
      </c>
      <c r="B26" s="3" t="inlineStr">
        <is>
          <t>R&amp;D – Contractors</t>
        </is>
      </c>
      <c r="C26" s="4" t="n">
        <v>46582.46</v>
      </c>
      <c r="D26" s="4" t="n">
        <v>-1.22</v>
      </c>
      <c r="E26" s="5">
        <f>C26-F26</f>
        <v/>
      </c>
      <c r="F26" s="6">
        <f>F26/2+49/2</f>
        <v/>
      </c>
    </row>
    <row r="27">
      <c r="A27" s="2" t="n">
        <v>26</v>
      </c>
      <c r="B27" s="3" t="inlineStr">
        <is>
          <t>Capex – Hardware</t>
        </is>
      </c>
      <c r="C27" s="4" t="n">
        <v>112320.97</v>
      </c>
      <c r="D27" s="4" t="n">
        <v>-3.13</v>
      </c>
      <c r="E27" s="5">
        <f>C27-F27</f>
        <v/>
      </c>
      <c r="F27" s="6">
        <f>F27/2+110/2</f>
        <v/>
      </c>
    </row>
    <row r="28">
      <c r="A28" s="2" t="n">
        <v>27</v>
      </c>
      <c r="B28" s="3" t="inlineStr">
        <is>
          <t>Capex – Fit-out</t>
        </is>
      </c>
      <c r="C28" s="4" t="n">
        <v>95394.09</v>
      </c>
      <c r="D28" s="4" t="n">
        <v>-0.27</v>
      </c>
      <c r="E28" s="5">
        <f>C28-F28</f>
        <v/>
      </c>
      <c r="F28" s="6">
        <f>F28/2+103/2</f>
        <v/>
      </c>
    </row>
    <row r="29">
      <c r="A29" s="2" t="n">
        <v>28</v>
      </c>
      <c r="B29" s="3" t="inlineStr">
        <is>
          <t>Capex – Vehicles</t>
        </is>
      </c>
      <c r="C29" s="4" t="n">
        <v>89973.49000000001</v>
      </c>
      <c r="D29" s="4" t="n">
        <v>-7.93</v>
      </c>
      <c r="E29" s="5">
        <f>C29-F29</f>
        <v/>
      </c>
      <c r="F29" s="6">
        <f>F29/2+95/2</f>
        <v/>
      </c>
    </row>
    <row r="30">
      <c r="A30" s="2" t="n">
        <v>29</v>
      </c>
      <c r="B30" s="3" t="inlineStr">
        <is>
          <t>Utilities</t>
        </is>
      </c>
      <c r="C30" s="4" t="n">
        <v>46005.8</v>
      </c>
      <c r="D30" s="4" t="n">
        <v>-4.01</v>
      </c>
      <c r="E30" s="5">
        <f>C30-F30</f>
        <v/>
      </c>
      <c r="F30" s="6">
        <f>F30/2+49/2</f>
        <v/>
      </c>
    </row>
    <row r="31">
      <c r="A31" s="2" t="n">
        <v>30</v>
      </c>
      <c r="B31" s="3" t="inlineStr">
        <is>
          <t>Telecoms</t>
        </is>
      </c>
      <c r="C31" s="4" t="n">
        <v>48476.72</v>
      </c>
      <c r="D31" s="4" t="n">
        <v>4.54</v>
      </c>
      <c r="E31" s="5">
        <f>C31-F31</f>
        <v/>
      </c>
      <c r="F31" s="6">
        <f>F31/2+53/2</f>
        <v/>
      </c>
    </row>
    <row r="32">
      <c r="A32" s="2" t="n">
        <v>31</v>
      </c>
      <c r="B32" s="3" t="inlineStr">
        <is>
          <t>Postage &amp; Courier</t>
        </is>
      </c>
      <c r="C32" s="4" t="n">
        <v>103619.65</v>
      </c>
      <c r="D32" s="4" t="n">
        <v>-3.31</v>
      </c>
      <c r="E32" s="5">
        <f>C32-F32</f>
        <v/>
      </c>
      <c r="F32" s="6">
        <f>F32/2+95/2</f>
        <v/>
      </c>
    </row>
    <row r="33">
      <c r="A33" s="2" t="n">
        <v>32</v>
      </c>
      <c r="B33" s="3" t="inlineStr">
        <is>
          <t>Training &amp; Development</t>
        </is>
      </c>
      <c r="C33" s="4" t="n">
        <v>117946.73</v>
      </c>
      <c r="D33" s="4" t="n">
        <v>12.99</v>
      </c>
      <c r="E33" s="5">
        <f>C33-F33</f>
        <v/>
      </c>
      <c r="F33" s="6">
        <f>F33/2+113/2</f>
        <v/>
      </c>
    </row>
    <row r="34">
      <c r="A34" s="2" t="n">
        <v>33</v>
      </c>
      <c r="B34" s="3" t="inlineStr">
        <is>
          <t>Recruitment Fees</t>
        </is>
      </c>
      <c r="C34" s="4" t="n">
        <v>106311.08</v>
      </c>
      <c r="D34" s="4" t="n">
        <v>-10.75</v>
      </c>
      <c r="E34" s="5">
        <f>C34-F34</f>
        <v/>
      </c>
      <c r="F34" s="6">
        <f>F34/2+117/2</f>
        <v/>
      </c>
    </row>
    <row r="35">
      <c r="A35" s="2" t="n">
        <v>34</v>
      </c>
      <c r="B35" s="3" t="inlineStr">
        <is>
          <t>Employee Benefits</t>
        </is>
      </c>
      <c r="C35" s="4" t="n">
        <v>51999.73</v>
      </c>
      <c r="D35" s="4" t="n">
        <v>10.14</v>
      </c>
      <c r="E35" s="5">
        <f>C35-F35</f>
        <v/>
      </c>
      <c r="F35" s="6">
        <f>F35/2+49/2</f>
        <v/>
      </c>
    </row>
    <row r="36">
      <c r="A36" s="2" t="n">
        <v>35</v>
      </c>
      <c r="B36" s="3" t="inlineStr">
        <is>
          <t>Depreciation – IT</t>
        </is>
      </c>
      <c r="C36" s="4" t="n">
        <v>119226.09</v>
      </c>
      <c r="D36" s="4" t="n">
        <v>-10.21</v>
      </c>
      <c r="E36" s="5">
        <f>C36-F36</f>
        <v/>
      </c>
      <c r="F36" s="6">
        <f>F36/2+116/2</f>
        <v/>
      </c>
    </row>
    <row r="37">
      <c r="A37" s="2" t="n">
        <v>36</v>
      </c>
      <c r="B37" s="3" t="inlineStr">
        <is>
          <t>Depreciation – Fixtures</t>
        </is>
      </c>
      <c r="C37" s="4" t="n">
        <v>50117.61</v>
      </c>
      <c r="D37" s="4" t="n">
        <v>11.05</v>
      </c>
      <c r="E37" s="5">
        <f>C37-F37</f>
        <v/>
      </c>
      <c r="F37" s="6">
        <f>F37/2+51/2</f>
        <v/>
      </c>
    </row>
    <row r="38">
      <c r="A38" s="2" t="n">
        <v>37</v>
      </c>
      <c r="B38" s="3" t="inlineStr">
        <is>
          <t>Depreciation – IP</t>
        </is>
      </c>
      <c r="C38" s="4" t="n">
        <v>102337.66</v>
      </c>
      <c r="D38" s="4" t="n">
        <v>9.1</v>
      </c>
      <c r="E38" s="5">
        <f>C38-F38</f>
        <v/>
      </c>
      <c r="F38" s="6">
        <f>F38/2+95/2</f>
        <v/>
      </c>
    </row>
    <row r="39">
      <c r="A39" s="2" t="n">
        <v>38</v>
      </c>
      <c r="B39" s="3" t="inlineStr">
        <is>
          <t>Bad Debt Provision</t>
        </is>
      </c>
      <c r="C39" s="4" t="n">
        <v>48911.81</v>
      </c>
      <c r="D39" s="4" t="n">
        <v>10.61</v>
      </c>
      <c r="E39" s="5">
        <f>C39-F39</f>
        <v/>
      </c>
      <c r="F39" s="6">
        <f>F39/2+52/2</f>
        <v/>
      </c>
    </row>
    <row r="40">
      <c r="A40" s="2" t="n">
        <v>39</v>
      </c>
      <c r="B40" s="3" t="inlineStr">
        <is>
          <t>FX Hedging Cost</t>
        </is>
      </c>
      <c r="C40" s="4" t="n">
        <v>92620.37</v>
      </c>
      <c r="D40" s="4" t="n">
        <v>6.5</v>
      </c>
      <c r="E40" s="5">
        <f>C40-F40</f>
        <v/>
      </c>
      <c r="F40" s="6">
        <f>F40/2+95/2</f>
        <v/>
      </c>
    </row>
    <row r="41">
      <c r="A41" s="2" t="n">
        <v>40</v>
      </c>
      <c r="B41" s="3" t="inlineStr">
        <is>
          <t>Interest Expense</t>
        </is>
      </c>
      <c r="C41" s="4" t="n">
        <v>103868.97</v>
      </c>
      <c r="D41" s="4" t="n">
        <v>14.14</v>
      </c>
      <c r="E41" s="5">
        <f>C41-F41</f>
        <v/>
      </c>
      <c r="F41" s="6">
        <f>F41/2+112/2</f>
        <v/>
      </c>
    </row>
    <row r="42">
      <c r="A42" s="2" t="n">
        <v>41</v>
      </c>
      <c r="B42" s="3" t="inlineStr">
        <is>
          <t>Tax Provision</t>
        </is>
      </c>
      <c r="C42" s="4" t="n">
        <v>116359.8</v>
      </c>
      <c r="D42" s="4" t="n">
        <v>6.68</v>
      </c>
      <c r="E42" s="5">
        <f>C42-F42</f>
        <v/>
      </c>
      <c r="F42" s="6">
        <f>F42/2+114/2</f>
        <v/>
      </c>
    </row>
    <row r="43">
      <c r="A43" s="2" t="n">
        <v>42</v>
      </c>
      <c r="B43" s="3" t="inlineStr">
        <is>
          <t>Dividend Accrual</t>
        </is>
      </c>
      <c r="C43" s="4" t="n">
        <v>45232.47</v>
      </c>
      <c r="D43" s="4" t="n">
        <v>3.52</v>
      </c>
      <c r="E43" s="5">
        <f>C43-F43</f>
        <v/>
      </c>
      <c r="F43" s="6">
        <f>F43/2+48/2</f>
        <v/>
      </c>
    </row>
    <row r="44">
      <c r="A44" s="2" t="n">
        <v>43</v>
      </c>
      <c r="B44" s="3" t="inlineStr">
        <is>
          <t>Minority Interest Adj.</t>
        </is>
      </c>
      <c r="C44" s="4" t="n">
        <v>99585.14</v>
      </c>
      <c r="D44" s="4" t="n">
        <v>2.74</v>
      </c>
      <c r="E44" s="5">
        <f>C44-F44</f>
        <v/>
      </c>
      <c r="F44" s="6">
        <f>F44/2+98/2</f>
        <v/>
      </c>
    </row>
    <row r="45">
      <c r="A45" s="2" t="n">
        <v>44</v>
      </c>
      <c r="B45" s="3" t="inlineStr">
        <is>
          <t>Restructuring Charge</t>
        </is>
      </c>
      <c r="C45" s="4" t="n">
        <v>104961.98</v>
      </c>
      <c r="D45" s="4" t="n">
        <v>6.83</v>
      </c>
      <c r="E45" s="5">
        <f>C45-F45</f>
        <v/>
      </c>
      <c r="F45" s="6">
        <f>F45/2+108/2</f>
        <v/>
      </c>
    </row>
    <row r="46">
      <c r="A46" s="2" t="n">
        <v>45</v>
      </c>
      <c r="B46" s="3" t="inlineStr">
        <is>
          <t>Goodwill Amortisation</t>
        </is>
      </c>
      <c r="C46" s="4" t="n">
        <v>49381.61</v>
      </c>
      <c r="D46" s="4" t="n">
        <v>-6.14</v>
      </c>
      <c r="E46" s="5">
        <f>C46-F46</f>
        <v/>
      </c>
      <c r="F46" s="6">
        <f>F46/2+51/2</f>
        <v/>
      </c>
    </row>
    <row r="47">
      <c r="A47" s="2" t="n">
        <v>46</v>
      </c>
      <c r="B47" s="3" t="inlineStr">
        <is>
          <t>Contingency Reserve</t>
        </is>
      </c>
      <c r="C47" s="4" t="n">
        <v>101685.74</v>
      </c>
      <c r="D47" s="4" t="n">
        <v>5.52</v>
      </c>
      <c r="E47" s="5">
        <f>C47-F47</f>
        <v/>
      </c>
      <c r="F47" s="6">
        <f>F47/2+109/2</f>
        <v/>
      </c>
    </row>
    <row r="48">
      <c r="A48" s="2" t="n">
        <v>47</v>
      </c>
      <c r="B48" s="3" t="inlineStr">
        <is>
          <t>Unallocated Overhead</t>
        </is>
      </c>
      <c r="C48" s="4" t="n">
        <v>115306.5</v>
      </c>
      <c r="D48" s="4" t="n">
        <v>-8.23</v>
      </c>
      <c r="E48" s="5">
        <f>C48-F48</f>
        <v/>
      </c>
      <c r="F48" s="6">
        <f>F48/2+125/2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7" t="inlineStr">
        <is>
          <t>Line Item</t>
        </is>
      </c>
      <c r="B1" s="7" t="inlineStr">
        <is>
          <t>Q1 Actual</t>
        </is>
      </c>
      <c r="C1" s="7" t="inlineStr">
        <is>
          <t>Q2 Actual</t>
        </is>
      </c>
      <c r="D1" s="7" t="inlineStr">
        <is>
          <t>Q3 Actual</t>
        </is>
      </c>
      <c r="E1" s="7" t="inlineStr">
        <is>
          <t>Q4 Forecast</t>
        </is>
      </c>
    </row>
    <row r="2">
      <c r="A2" t="inlineStr">
        <is>
          <t>Revenue</t>
        </is>
      </c>
      <c r="B2" s="8" t="n">
        <v>4210000</v>
      </c>
      <c r="C2" s="8" t="n">
        <v>4550000</v>
      </c>
      <c r="D2" s="8" t="n">
        <v>4820000</v>
      </c>
      <c r="E2" s="8" t="n">
        <v>5100000</v>
      </c>
    </row>
    <row r="3">
      <c r="A3" t="inlineStr">
        <is>
          <t>Cost of Goods Sold</t>
        </is>
      </c>
      <c r="B3" s="8" t="n">
        <v>-1820000</v>
      </c>
      <c r="C3" s="8" t="n">
        <v>-1940000</v>
      </c>
      <c r="D3" s="8" t="n">
        <v>-2050000</v>
      </c>
      <c r="E3" s="8" t="n">
        <v>-2200000</v>
      </c>
    </row>
    <row r="4">
      <c r="A4" t="inlineStr">
        <is>
          <t>Gross Profit</t>
        </is>
      </c>
      <c r="B4" s="8">
        <f>B2+B3</f>
        <v/>
      </c>
      <c r="C4" s="8">
        <f>C2+C3</f>
        <v/>
      </c>
      <c r="D4" s="8">
        <f>D2+D3</f>
        <v/>
      </c>
      <c r="E4" s="8">
        <f>E2+E3</f>
        <v/>
      </c>
    </row>
    <row r="5">
      <c r="A5" t="inlineStr">
        <is>
          <t>Operating Expenses</t>
        </is>
      </c>
      <c r="B5" s="8" t="n">
        <v>-1100000</v>
      </c>
      <c r="C5" s="8" t="n">
        <v>-1150000</v>
      </c>
      <c r="D5" s="8" t="n">
        <v>-1190000</v>
      </c>
      <c r="E5" s="8" t="n">
        <v>-1230000</v>
      </c>
    </row>
    <row r="6">
      <c r="A6" t="inlineStr">
        <is>
          <t>EBITDA</t>
        </is>
      </c>
      <c r="B6" s="8">
        <f>B4+B5</f>
        <v/>
      </c>
      <c r="C6" s="8">
        <f>C4+C5</f>
        <v/>
      </c>
      <c r="D6" s="8">
        <f>D4+D5</f>
        <v/>
      </c>
      <c r="E6" s="8">
        <f>E4+E5</f>
        <v/>
      </c>
    </row>
    <row r="7">
      <c r="A7" t="inlineStr">
        <is>
          <t>Depreciation</t>
        </is>
      </c>
      <c r="B7" s="8" t="n">
        <v>-88000</v>
      </c>
      <c r="C7" s="8" t="n">
        <v>-91000</v>
      </c>
      <c r="D7" s="8" t="n">
        <v>-94000</v>
      </c>
      <c r="E7" s="8" t="n">
        <v>-97000</v>
      </c>
    </row>
    <row r="8">
      <c r="A8" t="inlineStr">
        <is>
          <t>EBIT</t>
        </is>
      </c>
      <c r="B8" s="8">
        <f>B6+B7</f>
        <v/>
      </c>
      <c r="C8" s="8">
        <f>C6+C7</f>
        <v/>
      </c>
      <c r="D8" s="8">
        <f>D6+D7</f>
        <v/>
      </c>
      <c r="E8" s="8">
        <f>E6+E7</f>
        <v/>
      </c>
    </row>
    <row r="9">
      <c r="A9" t="inlineStr">
        <is>
          <t>Interest</t>
        </is>
      </c>
      <c r="B9" s="8" t="n">
        <v>-42000</v>
      </c>
      <c r="C9" s="8" t="n">
        <v>-40000</v>
      </c>
      <c r="D9" s="8" t="n">
        <v>-38000</v>
      </c>
      <c r="E9" s="8" t="n">
        <v>-36000</v>
      </c>
    </row>
    <row r="10">
      <c r="A10" t="inlineStr">
        <is>
          <t>EBT</t>
        </is>
      </c>
      <c r="B10" s="8">
        <f>B8+B9</f>
        <v/>
      </c>
      <c r="C10" s="8">
        <f>C8+C9</f>
        <v/>
      </c>
      <c r="D10" s="8">
        <f>D8+D9</f>
        <v/>
      </c>
      <c r="E10" s="8">
        <f>E8+E9</f>
        <v/>
      </c>
    </row>
    <row r="11">
      <c r="A11" t="inlineStr">
        <is>
          <t>Tax (28%)</t>
        </is>
      </c>
      <c r="B11" s="8">
        <f>B10*-0.28</f>
        <v/>
      </c>
      <c r="C11" s="8">
        <f>C10*-0.28</f>
        <v/>
      </c>
      <c r="D11" s="8">
        <f>D10*-0.28</f>
        <v/>
      </c>
      <c r="E11" s="8">
        <f>E10*-0.28</f>
        <v/>
      </c>
    </row>
    <row r="12">
      <c r="A12" t="inlineStr">
        <is>
          <t>Net Profit</t>
        </is>
      </c>
      <c r="B12" s="8">
        <f>B10+B11</f>
        <v/>
      </c>
      <c r="C12" s="8">
        <f>C10+C11</f>
        <v/>
      </c>
      <c r="D12" s="8">
        <f>D10+D11</f>
        <v/>
      </c>
      <c r="E12" s="8">
        <f>E10+E11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9" t="inlineStr">
        <is>
          <t>Invoice #</t>
        </is>
      </c>
      <c r="B1" s="9" t="inlineStr">
        <is>
          <t>Client</t>
        </is>
      </c>
      <c r="C1" s="9" t="inlineStr">
        <is>
          <t>Issue Date</t>
        </is>
      </c>
      <c r="D1" s="9" t="inlineStr">
        <is>
          <t>Due Date</t>
        </is>
      </c>
      <c r="E1" s="9" t="inlineStr">
        <is>
          <t>Amount</t>
        </is>
      </c>
      <c r="F1" s="9" t="inlineStr">
        <is>
          <t>Status</t>
        </is>
      </c>
    </row>
    <row r="2">
      <c r="A2" t="inlineStr">
        <is>
          <t>INV-1000</t>
        </is>
      </c>
      <c r="B2" t="inlineStr">
        <is>
          <t>Stonebridge LLC</t>
        </is>
      </c>
      <c r="C2" t="inlineStr">
        <is>
          <t>2024-01-15</t>
        </is>
      </c>
      <c r="D2" t="inlineStr">
        <is>
          <t>2024-02-14</t>
        </is>
      </c>
      <c r="E2" s="10" t="n">
        <v>24409.36</v>
      </c>
      <c r="F2" t="inlineStr">
        <is>
          <t>PAID</t>
        </is>
      </c>
    </row>
    <row r="3">
      <c r="A3" t="inlineStr">
        <is>
          <t>INV-1001</t>
        </is>
      </c>
      <c r="B3" t="inlineStr">
        <is>
          <t>Orion Dynamics</t>
        </is>
      </c>
      <c r="C3" t="inlineStr">
        <is>
          <t>2024-01-27</t>
        </is>
      </c>
      <c r="D3" t="inlineStr">
        <is>
          <t>2024-02-26</t>
        </is>
      </c>
      <c r="E3" s="10" t="n">
        <v>19740.29</v>
      </c>
      <c r="F3" t="inlineStr">
        <is>
          <t>PAID</t>
        </is>
      </c>
    </row>
    <row r="4">
      <c r="A4" t="inlineStr">
        <is>
          <t>INV-1002</t>
        </is>
      </c>
      <c r="B4" t="inlineStr">
        <is>
          <t>Apex Partners</t>
        </is>
      </c>
      <c r="C4" t="inlineStr">
        <is>
          <t>2024-02-08</t>
        </is>
      </c>
      <c r="D4" t="inlineStr">
        <is>
          <t>2024-03-09</t>
        </is>
      </c>
      <c r="E4" s="10" t="n">
        <v>68406.14</v>
      </c>
      <c r="F4" t="inlineStr">
        <is>
          <t>PAID</t>
        </is>
      </c>
    </row>
    <row r="5">
      <c r="A5" t="inlineStr">
        <is>
          <t>INV-1003</t>
        </is>
      </c>
      <c r="B5" t="inlineStr">
        <is>
          <t>Stonebridge LLC</t>
        </is>
      </c>
      <c r="C5" t="inlineStr">
        <is>
          <t>2024-02-20</t>
        </is>
      </c>
      <c r="D5" t="inlineStr">
        <is>
          <t>2024-03-21</t>
        </is>
      </c>
      <c r="E5" s="10" t="n">
        <v>26541.27</v>
      </c>
      <c r="F5" t="inlineStr">
        <is>
          <t>PAID</t>
        </is>
      </c>
    </row>
    <row r="6">
      <c r="A6" t="inlineStr">
        <is>
          <t>INV-1004</t>
        </is>
      </c>
      <c r="B6" t="inlineStr">
        <is>
          <t>Apex Partners</t>
        </is>
      </c>
      <c r="C6" t="inlineStr">
        <is>
          <t>2024-03-03</t>
        </is>
      </c>
      <c r="D6" t="inlineStr">
        <is>
          <t>2024-04-02</t>
        </is>
      </c>
      <c r="E6" s="10" t="n">
        <v>83088.42999999999</v>
      </c>
      <c r="F6" t="inlineStr">
        <is>
          <t>PAID</t>
        </is>
      </c>
    </row>
    <row r="7">
      <c r="A7" t="inlineStr">
        <is>
          <t>INV-1005</t>
        </is>
      </c>
      <c r="B7" t="inlineStr">
        <is>
          <t>Crestwood Group</t>
        </is>
      </c>
      <c r="C7" t="inlineStr">
        <is>
          <t>2024-03-15</t>
        </is>
      </c>
      <c r="D7" t="inlineStr">
        <is>
          <t>2024-04-14</t>
        </is>
      </c>
      <c r="E7" s="10" t="n">
        <v>59820.83</v>
      </c>
      <c r="F7" t="inlineStr">
        <is>
          <t>OVERDUE</t>
        </is>
      </c>
    </row>
    <row r="8">
      <c r="A8" t="inlineStr">
        <is>
          <t>INV-1006</t>
        </is>
      </c>
      <c r="B8" t="inlineStr">
        <is>
          <t>Meridian Corp</t>
        </is>
      </c>
      <c r="C8" t="inlineStr">
        <is>
          <t>2024-03-27</t>
        </is>
      </c>
      <c r="D8" t="inlineStr">
        <is>
          <t>2024-04-26</t>
        </is>
      </c>
      <c r="E8" s="10" t="n">
        <v>51171.55</v>
      </c>
      <c r="F8" t="inlineStr">
        <is>
          <t>PAID</t>
        </is>
      </c>
    </row>
    <row r="9">
      <c r="A9" t="inlineStr">
        <is>
          <t>INV-1007</t>
        </is>
      </c>
      <c r="B9" t="inlineStr">
        <is>
          <t>Crestwood Group</t>
        </is>
      </c>
      <c r="C9" t="inlineStr">
        <is>
          <t>2024-04-08</t>
        </is>
      </c>
      <c r="D9" t="inlineStr">
        <is>
          <t>2024-05-08</t>
        </is>
      </c>
      <c r="E9" s="10" t="n">
        <v>26117.8</v>
      </c>
      <c r="F9" t="inlineStr">
        <is>
          <t>OVERDUE</t>
        </is>
      </c>
    </row>
    <row r="10">
      <c r="A10" t="inlineStr">
        <is>
          <t>INV-1008</t>
        </is>
      </c>
      <c r="B10" t="inlineStr">
        <is>
          <t>Stonebridge LLC</t>
        </is>
      </c>
      <c r="C10" t="inlineStr">
        <is>
          <t>2024-04-20</t>
        </is>
      </c>
      <c r="D10" t="inlineStr">
        <is>
          <t>2024-05-20</t>
        </is>
      </c>
      <c r="E10" s="10" t="n">
        <v>19442.49</v>
      </c>
      <c r="F10" t="inlineStr">
        <is>
          <t>PAID</t>
        </is>
      </c>
    </row>
    <row r="11">
      <c r="A11" t="inlineStr">
        <is>
          <t>INV-1009</t>
        </is>
      </c>
      <c r="B11" t="inlineStr">
        <is>
          <t>Crestwood Group</t>
        </is>
      </c>
      <c r="C11" t="inlineStr">
        <is>
          <t>2024-05-02</t>
        </is>
      </c>
      <c r="D11" t="inlineStr">
        <is>
          <t>2024-06-01</t>
        </is>
      </c>
      <c r="E11" s="10" t="n">
        <v>47467.4</v>
      </c>
      <c r="F11" t="inlineStr">
        <is>
          <t>OUTSTANDING</t>
        </is>
      </c>
    </row>
    <row r="12">
      <c r="A12" t="inlineStr">
        <is>
          <t>INV-1010</t>
        </is>
      </c>
      <c r="B12" t="inlineStr">
        <is>
          <t>Crestwood Group</t>
        </is>
      </c>
      <c r="C12" t="inlineStr">
        <is>
          <t>2024-05-14</t>
        </is>
      </c>
      <c r="D12" t="inlineStr">
        <is>
          <t>2024-06-13</t>
        </is>
      </c>
      <c r="E12" s="10" t="n">
        <v>9893.75</v>
      </c>
      <c r="F12" t="inlineStr">
        <is>
          <t>OUTSTANDING</t>
        </is>
      </c>
    </row>
    <row r="13">
      <c r="A13" t="inlineStr">
        <is>
          <t>INV-1011</t>
        </is>
      </c>
      <c r="B13" t="inlineStr">
        <is>
          <t>Crestwood Group</t>
        </is>
      </c>
      <c r="C13" t="inlineStr">
        <is>
          <t>2024-05-26</t>
        </is>
      </c>
      <c r="D13" t="inlineStr">
        <is>
          <t>2024-06-25</t>
        </is>
      </c>
      <c r="E13" s="10" t="n">
        <v>31785.05</v>
      </c>
      <c r="F13" t="inlineStr">
        <is>
          <t>PAID</t>
        </is>
      </c>
    </row>
    <row r="14">
      <c r="A14" t="inlineStr">
        <is>
          <t>INV-1012</t>
        </is>
      </c>
      <c r="B14" t="inlineStr">
        <is>
          <t>Orion Dynamics</t>
        </is>
      </c>
      <c r="C14" t="inlineStr">
        <is>
          <t>2024-06-07</t>
        </is>
      </c>
      <c r="D14" t="inlineStr">
        <is>
          <t>2024-07-07</t>
        </is>
      </c>
      <c r="E14" s="10" t="n">
        <v>29997.79</v>
      </c>
      <c r="F14" t="inlineStr">
        <is>
          <t>OUTSTANDING</t>
        </is>
      </c>
    </row>
    <row r="15">
      <c r="A15" t="inlineStr">
        <is>
          <t>INV-1013</t>
        </is>
      </c>
      <c r="B15" t="inlineStr">
        <is>
          <t>Crestwood Group</t>
        </is>
      </c>
      <c r="C15" t="inlineStr">
        <is>
          <t>2024-06-19</t>
        </is>
      </c>
      <c r="D15" t="inlineStr">
        <is>
          <t>2024-07-19</t>
        </is>
      </c>
      <c r="E15" s="10" t="n">
        <v>16377.87</v>
      </c>
      <c r="F15" t="inlineStr">
        <is>
          <t>OUTSTANDING</t>
        </is>
      </c>
    </row>
    <row r="16">
      <c r="A16" t="inlineStr">
        <is>
          <t>INV-1014</t>
        </is>
      </c>
      <c r="B16" t="inlineStr">
        <is>
          <t>Stonebridge LLC</t>
        </is>
      </c>
      <c r="C16" t="inlineStr">
        <is>
          <t>2024-07-01</t>
        </is>
      </c>
      <c r="D16" t="inlineStr">
        <is>
          <t>2024-07-31</t>
        </is>
      </c>
      <c r="E16" s="10" t="n">
        <v>39552.78</v>
      </c>
      <c r="F16" t="inlineStr">
        <is>
          <t>OUTSTANDING</t>
        </is>
      </c>
    </row>
    <row r="17">
      <c r="A17" t="inlineStr">
        <is>
          <t>INV-1015</t>
        </is>
      </c>
      <c r="B17" t="inlineStr">
        <is>
          <t>Crestwood Group</t>
        </is>
      </c>
      <c r="C17" t="inlineStr">
        <is>
          <t>2024-07-13</t>
        </is>
      </c>
      <c r="D17" t="inlineStr">
        <is>
          <t>2024-08-12</t>
        </is>
      </c>
      <c r="E17" s="10" t="n">
        <v>77097.99000000001</v>
      </c>
      <c r="F17" t="inlineStr">
        <is>
          <t>OVERDUE</t>
        </is>
      </c>
    </row>
    <row r="18">
      <c r="A18" t="inlineStr">
        <is>
          <t>INV-1016</t>
        </is>
      </c>
      <c r="B18" t="inlineStr">
        <is>
          <t>Apex Partners</t>
        </is>
      </c>
      <c r="C18" t="inlineStr">
        <is>
          <t>2024-07-25</t>
        </is>
      </c>
      <c r="D18" t="inlineStr">
        <is>
          <t>2024-08-24</t>
        </is>
      </c>
      <c r="E18" s="10" t="n">
        <v>45502.37</v>
      </c>
      <c r="F18" t="inlineStr">
        <is>
          <t>PAID</t>
        </is>
      </c>
    </row>
    <row r="19">
      <c r="A19" t="inlineStr">
        <is>
          <t>INV-1017</t>
        </is>
      </c>
      <c r="B19" t="inlineStr">
        <is>
          <t>Orion Dynamics</t>
        </is>
      </c>
      <c r="C19" t="inlineStr">
        <is>
          <t>2024-08-06</t>
        </is>
      </c>
      <c r="D19" t="inlineStr">
        <is>
          <t>2024-09-05</t>
        </is>
      </c>
      <c r="E19" s="10" t="n">
        <v>36781.63</v>
      </c>
      <c r="F19" t="inlineStr">
        <is>
          <t>PAID</t>
        </is>
      </c>
    </row>
    <row r="20">
      <c r="A20" t="inlineStr">
        <is>
          <t>INV-1018</t>
        </is>
      </c>
      <c r="B20" t="inlineStr">
        <is>
          <t>Apex Partners</t>
        </is>
      </c>
      <c r="C20" t="inlineStr">
        <is>
          <t>2024-08-18</t>
        </is>
      </c>
      <c r="D20" t="inlineStr">
        <is>
          <t>2024-09-17</t>
        </is>
      </c>
      <c r="E20" s="10" t="n">
        <v>50061.75</v>
      </c>
      <c r="F20" t="inlineStr">
        <is>
          <t>OVERDUE</t>
        </is>
      </c>
    </row>
    <row r="21">
      <c r="A21" t="inlineStr">
        <is>
          <t>INV-1019</t>
        </is>
      </c>
      <c r="B21" t="inlineStr">
        <is>
          <t>Crestwood Group</t>
        </is>
      </c>
      <c r="C21" t="inlineStr">
        <is>
          <t>2024-08-30</t>
        </is>
      </c>
      <c r="D21" t="inlineStr">
        <is>
          <t>2024-09-29</t>
        </is>
      </c>
      <c r="E21" s="10" t="n">
        <v>7016.25</v>
      </c>
      <c r="F21" t="inlineStr">
        <is>
          <t>PAID</t>
        </is>
      </c>
    </row>
    <row r="22">
      <c r="A22" t="inlineStr">
        <is>
          <t>INV-1020</t>
        </is>
      </c>
      <c r="B22" t="inlineStr">
        <is>
          <t>Crestwood Group</t>
        </is>
      </c>
      <c r="C22" t="inlineStr">
        <is>
          <t>2024-09-11</t>
        </is>
      </c>
      <c r="D22" t="inlineStr">
        <is>
          <t>2024-10-11</t>
        </is>
      </c>
      <c r="E22" s="10" t="n">
        <v>49904.25</v>
      </c>
      <c r="F22" t="inlineStr">
        <is>
          <t>PAID</t>
        </is>
      </c>
    </row>
    <row r="23">
      <c r="A23" t="inlineStr">
        <is>
          <t>INV-1021</t>
        </is>
      </c>
      <c r="B23" t="inlineStr">
        <is>
          <t>Orion Dynamics</t>
        </is>
      </c>
      <c r="C23" t="inlineStr">
        <is>
          <t>2024-09-23</t>
        </is>
      </c>
      <c r="D23" t="inlineStr">
        <is>
          <t>2024-10-23</t>
        </is>
      </c>
      <c r="E23" s="10" t="n">
        <v>65603.71000000001</v>
      </c>
      <c r="F23" t="inlineStr">
        <is>
          <t>PAID</t>
        </is>
      </c>
    </row>
    <row r="24">
      <c r="A24" t="inlineStr">
        <is>
          <t>INV-1022</t>
        </is>
      </c>
      <c r="B24" t="inlineStr">
        <is>
          <t>Orion Dynamics</t>
        </is>
      </c>
      <c r="C24" t="inlineStr">
        <is>
          <t>2024-10-05</t>
        </is>
      </c>
      <c r="D24" t="inlineStr">
        <is>
          <t>2024-11-04</t>
        </is>
      </c>
      <c r="E24" s="10" t="n">
        <v>12048.76</v>
      </c>
      <c r="F24" t="inlineStr">
        <is>
          <t>OVERDUE</t>
        </is>
      </c>
    </row>
    <row r="25">
      <c r="A25" t="inlineStr">
        <is>
          <t>INV-1023</t>
        </is>
      </c>
      <c r="B25" t="inlineStr">
        <is>
          <t>Apex Partners</t>
        </is>
      </c>
      <c r="C25" t="inlineStr">
        <is>
          <t>2024-10-17</t>
        </is>
      </c>
      <c r="D25" t="inlineStr">
        <is>
          <t>2024-11-16</t>
        </is>
      </c>
      <c r="E25" s="10" t="n">
        <v>12885.69</v>
      </c>
      <c r="F25" t="inlineStr">
        <is>
          <t>OVERDUE</t>
        </is>
      </c>
    </row>
    <row r="26">
      <c r="A26" t="inlineStr">
        <is>
          <t>INV-1024</t>
        </is>
      </c>
      <c r="B26" t="inlineStr">
        <is>
          <t>Meridian Corp</t>
        </is>
      </c>
      <c r="C26" t="inlineStr">
        <is>
          <t>2024-10-29</t>
        </is>
      </c>
      <c r="D26" t="inlineStr">
        <is>
          <t>2024-11-28</t>
        </is>
      </c>
      <c r="E26" s="10" t="n">
        <v>79360.34</v>
      </c>
      <c r="F26" t="inlineStr">
        <is>
          <t>PAID</t>
        </is>
      </c>
    </row>
    <row r="27">
      <c r="A27" t="inlineStr">
        <is>
          <t>INV-1025</t>
        </is>
      </c>
      <c r="B27" t="inlineStr">
        <is>
          <t>Crestwood Group</t>
        </is>
      </c>
      <c r="C27" t="inlineStr">
        <is>
          <t>2024-11-10</t>
        </is>
      </c>
      <c r="D27" t="inlineStr">
        <is>
          <t>2024-12-10</t>
        </is>
      </c>
      <c r="E27" s="10" t="n">
        <v>24099.52</v>
      </c>
      <c r="F27" t="inlineStr">
        <is>
          <t>PAID</t>
        </is>
      </c>
    </row>
    <row r="28">
      <c r="A28" t="inlineStr">
        <is>
          <t>INV-1026</t>
        </is>
      </c>
      <c r="B28" t="inlineStr">
        <is>
          <t>Meridian Corp</t>
        </is>
      </c>
      <c r="C28" t="inlineStr">
        <is>
          <t>2024-11-22</t>
        </is>
      </c>
      <c r="D28" t="inlineStr">
        <is>
          <t>2024-12-22</t>
        </is>
      </c>
      <c r="E28" s="10" t="n">
        <v>41718.38</v>
      </c>
      <c r="F28" t="inlineStr">
        <is>
          <t>PAID</t>
        </is>
      </c>
    </row>
    <row r="29">
      <c r="A29" t="inlineStr">
        <is>
          <t>INV-1027</t>
        </is>
      </c>
      <c r="B29" t="inlineStr">
        <is>
          <t>Stonebridge LLC</t>
        </is>
      </c>
      <c r="C29" t="inlineStr">
        <is>
          <t>2024-12-04</t>
        </is>
      </c>
      <c r="D29" t="inlineStr">
        <is>
          <t>2025-01-03</t>
        </is>
      </c>
      <c r="E29" s="10" t="n">
        <v>7412.22</v>
      </c>
      <c r="F29" t="inlineStr">
        <is>
          <t>OVERDUE</t>
        </is>
      </c>
    </row>
    <row r="30">
      <c r="A30" t="inlineStr">
        <is>
          <t>INV-1028</t>
        </is>
      </c>
      <c r="B30" t="inlineStr">
        <is>
          <t>Apex Partners</t>
        </is>
      </c>
      <c r="C30" t="inlineStr">
        <is>
          <t>2024-12-16</t>
        </is>
      </c>
      <c r="D30" t="inlineStr">
        <is>
          <t>2025-01-15</t>
        </is>
      </c>
      <c r="E30" s="10" t="n">
        <v>19308.52</v>
      </c>
      <c r="F30" t="inlineStr">
        <is>
          <t>OUTSTANDING</t>
        </is>
      </c>
    </row>
    <row r="31">
      <c r="A31" t="inlineStr">
        <is>
          <t>INV-1029</t>
        </is>
      </c>
      <c r="B31" t="inlineStr">
        <is>
          <t>Stonebridge LLC</t>
        </is>
      </c>
      <c r="C31" t="inlineStr">
        <is>
          <t>2024-12-28</t>
        </is>
      </c>
      <c r="D31" t="inlineStr">
        <is>
          <t>2025-01-27</t>
        </is>
      </c>
      <c r="E31" s="10" t="n">
        <v>40486.79</v>
      </c>
      <c r="F31" t="inlineStr">
        <is>
          <t>PAID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20" customWidth="1" min="3" max="3"/>
    <col width="50" customWidth="1" min="4" max="4"/>
    <col width="12" customWidth="1" min="5" max="5"/>
  </cols>
  <sheetData>
    <row r="1">
      <c r="A1" s="11" t="inlineStr">
        <is>
          <t>Ref</t>
        </is>
      </c>
      <c r="B1" s="11" t="inlineStr">
        <is>
          <t>Account</t>
        </is>
      </c>
      <c r="C1" s="11" t="inlineStr">
        <is>
          <t>Flag Type</t>
        </is>
      </c>
      <c r="D1" s="11" t="inlineStr">
        <is>
          <t>Notes</t>
        </is>
      </c>
      <c r="E1" s="11" t="inlineStr">
        <is>
          <t>Cleared</t>
        </is>
      </c>
    </row>
    <row r="2">
      <c r="A2" t="inlineStr">
        <is>
          <t>AF-001</t>
        </is>
      </c>
      <c r="B2" t="inlineStr">
        <is>
          <t>Cloud Infra – Egress</t>
        </is>
      </c>
      <c r="C2" t="inlineStr">
        <is>
          <t>VARIANCE EXCESS</t>
        </is>
      </c>
      <c r="D2" t="inlineStr">
        <is>
          <t>Egress costs 34% above budget. Possible misconfigured CDN routing.</t>
        </is>
      </c>
      <c r="E2" t="inlineStr">
        <is>
          <t>NO</t>
        </is>
      </c>
    </row>
    <row r="3">
      <c r="A3" t="inlineStr">
        <is>
          <t>AF-002</t>
        </is>
      </c>
      <c r="B3" t="inlineStr">
        <is>
          <t>Travel &amp; Expenses</t>
        </is>
      </c>
      <c r="C3" t="inlineStr">
        <is>
          <t>DUPLICATE ENTRY</t>
        </is>
      </c>
      <c r="D3" t="inlineStr">
        <is>
          <t>Two identical claims submitted 2024-03-07 and 2024-03-08.</t>
        </is>
      </c>
      <c r="E3" t="inlineStr">
        <is>
          <t>YES</t>
        </is>
      </c>
    </row>
    <row r="4">
      <c r="A4" t="inlineStr">
        <is>
          <t>AF-003</t>
        </is>
      </c>
      <c r="B4" t="inlineStr">
        <is>
          <t>Unallocated Overhead</t>
        </is>
      </c>
      <c r="C4" t="inlineStr">
        <is>
          <t>MISSING ALLOCATION</t>
        </is>
      </c>
      <c r="D4" t="inlineStr">
        <is>
          <t>£47,200 unallocated for Q3. Cost centre codes absent.</t>
        </is>
      </c>
      <c r="E4" t="inlineStr">
        <is>
          <t>NO</t>
        </is>
      </c>
    </row>
    <row r="5">
      <c r="A5" t="inlineStr">
        <is>
          <t>AF-004</t>
        </is>
      </c>
      <c r="B5" t="inlineStr">
        <is>
          <t>FX Hedging Cost</t>
        </is>
      </c>
      <c r="C5" t="inlineStr">
        <is>
          <t>RECONCILIATION FAIL</t>
        </is>
      </c>
      <c r="D5" t="inlineStr">
        <is>
          <t>Hedge book and GL differ by £3,140. Broker confirm pending.</t>
        </is>
      </c>
      <c r="E5" t="inlineStr">
        <is>
          <t>NO</t>
        </is>
      </c>
    </row>
    <row r="6">
      <c r="A6" t="inlineStr">
        <is>
          <t>AF-005</t>
        </is>
      </c>
      <c r="B6" t="inlineStr">
        <is>
          <t>Goodwill Amortisation</t>
        </is>
      </c>
      <c r="C6" t="inlineStr">
        <is>
          <t>POLICY BREACH</t>
        </is>
      </c>
      <c r="D6" t="inlineStr">
        <is>
          <t>Amortisation schedule inconsistent with IFRS 3 revised useful life.</t>
        </is>
      </c>
      <c r="E6" t="inlineStr">
        <is>
          <t>YES</t>
        </is>
      </c>
    </row>
    <row r="7">
      <c r="A7" t="inlineStr">
        <is>
          <t>AF-006</t>
        </is>
      </c>
      <c r="B7" t="inlineStr">
        <is>
          <t>Equilibrium column</t>
        </is>
      </c>
      <c r="C7" t="inlineStr">
        <is>
          <t>CIRCULAR REFERENCE</t>
        </is>
      </c>
      <c r="D7" t="inlineStr">
        <is>
          <t>Column F contains self-referential formulae. Requires iterative calc mode.</t>
        </is>
      </c>
      <c r="E7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2026-05-30T12:10:37Z</dcterms:created>
  <dcterms:modified xmlns:dcterms="http://purl.org/dc/terms/" xmlns:xsi="http://www.w3.org/2001/XMLSchema-instance" xsi:type="dcterms:W3CDTF">2026-05-30T12:10:37Z</dcterms:modified>
</cp:coreProperties>
</file>